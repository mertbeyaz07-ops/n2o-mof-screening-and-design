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GitHub\n2o-mof-screening-and-design\data\hifimofs\"/>
    </mc:Choice>
  </mc:AlternateContent>
  <xr:revisionPtr revIDLastSave="0" documentId="13_ncr:1_{4E36645E-58E8-4220-AFF9-A618DCA3BD07}" xr6:coauthVersionLast="47" xr6:coauthVersionMax="47" xr10:uidLastSave="{00000000-0000-0000-0000-000000000000}"/>
  <bookViews>
    <workbookView xWindow="5610" yWindow="2780" windowWidth="19200" windowHeight="9970" xr2:uid="{00000000-000D-0000-FFFF-FFFF00000000}"/>
  </bookViews>
  <sheets>
    <sheet name="full" sheetId="1" r:id="rId1"/>
  </sheets>
  <definedNames>
    <definedName name="_xlnm._FilterDatabase" localSheetId="0" hidden="1">full!$A$1:$V$22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" l="1"/>
  <c r="U23" i="1"/>
  <c r="T23" i="1"/>
  <c r="S23" i="1"/>
  <c r="R23" i="1"/>
  <c r="Q23" i="1"/>
  <c r="P23" i="1"/>
  <c r="O23" i="1"/>
  <c r="N23" i="1"/>
  <c r="M23" i="1"/>
  <c r="L23" i="1"/>
  <c r="K23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S2" i="1"/>
  <c r="T2" i="1"/>
  <c r="U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P2" i="1"/>
  <c r="M2" i="1"/>
  <c r="N2" i="1"/>
  <c r="Q18" i="1"/>
  <c r="P18" i="1"/>
  <c r="O18" i="1"/>
  <c r="M18" i="1"/>
  <c r="N18" i="1"/>
  <c r="N19" i="1"/>
  <c r="N16" i="1"/>
  <c r="N13" i="1"/>
  <c r="N20" i="1"/>
  <c r="N17" i="1"/>
  <c r="N3" i="1"/>
  <c r="N12" i="1"/>
  <c r="N8" i="1"/>
  <c r="N14" i="1"/>
  <c r="N6" i="1"/>
  <c r="N9" i="1"/>
  <c r="N7" i="1"/>
  <c r="N11" i="1"/>
  <c r="N10" i="1"/>
  <c r="N15" i="1"/>
  <c r="N4" i="1"/>
  <c r="N5" i="1"/>
  <c r="N21" i="1"/>
  <c r="N22" i="1"/>
  <c r="M19" i="1"/>
  <c r="M16" i="1"/>
  <c r="M13" i="1"/>
  <c r="M20" i="1"/>
  <c r="M17" i="1"/>
  <c r="M3" i="1"/>
  <c r="M12" i="1"/>
  <c r="M8" i="1"/>
  <c r="M14" i="1"/>
  <c r="M6" i="1"/>
  <c r="M9" i="1"/>
  <c r="M7" i="1"/>
  <c r="M11" i="1"/>
  <c r="M10" i="1"/>
  <c r="M15" i="1"/>
  <c r="M4" i="1"/>
  <c r="M5" i="1"/>
  <c r="M21" i="1"/>
  <c r="M22" i="1"/>
  <c r="L19" i="1"/>
  <c r="L16" i="1"/>
  <c r="L13" i="1"/>
  <c r="L20" i="1"/>
  <c r="L17" i="1"/>
  <c r="L3" i="1"/>
  <c r="L12" i="1"/>
  <c r="L8" i="1"/>
  <c r="L14" i="1"/>
  <c r="L6" i="1"/>
  <c r="L9" i="1"/>
  <c r="L7" i="1"/>
  <c r="L11" i="1"/>
  <c r="L10" i="1"/>
  <c r="L15" i="1"/>
  <c r="L4" i="1"/>
  <c r="L2" i="1"/>
  <c r="L5" i="1"/>
  <c r="L21" i="1"/>
  <c r="L22" i="1"/>
  <c r="L18" i="1"/>
  <c r="K2" i="1"/>
  <c r="R19" i="1"/>
  <c r="R16" i="1"/>
  <c r="R13" i="1"/>
  <c r="R20" i="1"/>
  <c r="R17" i="1"/>
  <c r="R3" i="1"/>
  <c r="R12" i="1"/>
  <c r="R8" i="1"/>
  <c r="R6" i="1"/>
  <c r="R14" i="1"/>
  <c r="R9" i="1"/>
  <c r="R7" i="1"/>
  <c r="R11" i="1"/>
  <c r="R10" i="1"/>
  <c r="R15" i="1"/>
  <c r="R4" i="1"/>
  <c r="R2" i="1"/>
  <c r="R5" i="1"/>
  <c r="R21" i="1"/>
  <c r="R22" i="1"/>
  <c r="R18" i="1"/>
  <c r="Q19" i="1"/>
  <c r="Q16" i="1"/>
  <c r="Q13" i="1"/>
  <c r="Q20" i="1"/>
  <c r="Q17" i="1"/>
  <c r="Q3" i="1"/>
  <c r="Q12" i="1"/>
  <c r="Q8" i="1"/>
  <c r="Q6" i="1"/>
  <c r="Q14" i="1"/>
  <c r="Q9" i="1"/>
  <c r="Q7" i="1"/>
  <c r="Q11" i="1"/>
  <c r="Q10" i="1"/>
  <c r="Q15" i="1"/>
  <c r="Q4" i="1"/>
  <c r="Q2" i="1"/>
  <c r="Q5" i="1"/>
  <c r="Q21" i="1"/>
  <c r="Q22" i="1"/>
  <c r="P19" i="1"/>
  <c r="P16" i="1"/>
  <c r="P13" i="1"/>
  <c r="P20" i="1"/>
  <c r="P17" i="1"/>
  <c r="P3" i="1"/>
  <c r="P12" i="1"/>
  <c r="P8" i="1"/>
  <c r="P6" i="1"/>
  <c r="P14" i="1"/>
  <c r="P9" i="1"/>
  <c r="P7" i="1"/>
  <c r="P11" i="1"/>
  <c r="P10" i="1"/>
  <c r="P15" i="1"/>
  <c r="P4" i="1"/>
  <c r="P5" i="1"/>
  <c r="P21" i="1"/>
  <c r="P22" i="1"/>
  <c r="O19" i="1"/>
  <c r="O16" i="1"/>
  <c r="O13" i="1"/>
  <c r="O20" i="1"/>
  <c r="O17" i="1"/>
  <c r="O3" i="1"/>
  <c r="O12" i="1"/>
  <c r="O8" i="1"/>
  <c r="O6" i="1"/>
  <c r="O14" i="1"/>
  <c r="O9" i="1"/>
  <c r="O7" i="1"/>
  <c r="O11" i="1"/>
  <c r="O10" i="1"/>
  <c r="O15" i="1"/>
  <c r="O4" i="1"/>
  <c r="O2" i="1"/>
  <c r="O5" i="1"/>
  <c r="O21" i="1"/>
  <c r="O22" i="1"/>
  <c r="T9" i="1" l="1"/>
  <c r="T7" i="1"/>
  <c r="U12" i="1"/>
  <c r="U3" i="1"/>
  <c r="S20" i="1"/>
  <c r="S18" i="1"/>
  <c r="S10" i="1"/>
  <c r="T6" i="1"/>
  <c r="U19" i="1"/>
  <c r="T14" i="1"/>
  <c r="S11" i="1"/>
  <c r="T8" i="1"/>
  <c r="T13" i="1"/>
  <c r="U5" i="1"/>
  <c r="S22" i="1"/>
  <c r="S7" i="1"/>
  <c r="T21" i="1"/>
  <c r="T12" i="1"/>
  <c r="U4" i="1"/>
  <c r="T3" i="1"/>
  <c r="U17" i="1"/>
  <c r="S9" i="1"/>
  <c r="S17" i="1"/>
  <c r="T22" i="1"/>
  <c r="T11" i="1"/>
  <c r="U8" i="1"/>
  <c r="U13" i="1"/>
  <c r="S15" i="1"/>
  <c r="U16" i="1"/>
  <c r="S4" i="1"/>
  <c r="U21" i="1"/>
  <c r="T19" i="1"/>
  <c r="S8" i="1"/>
  <c r="S12" i="1"/>
  <c r="U15" i="1"/>
  <c r="U18" i="1"/>
  <c r="T17" i="1"/>
  <c r="T16" i="1"/>
  <c r="T5" i="1"/>
  <c r="S3" i="1"/>
  <c r="T4" i="1"/>
  <c r="U22" i="1"/>
  <c r="U7" i="1"/>
  <c r="S16" i="1"/>
  <c r="T15" i="1"/>
  <c r="T20" i="1"/>
  <c r="U9" i="1"/>
  <c r="S19" i="1"/>
  <c r="U10" i="1"/>
  <c r="S5" i="1"/>
  <c r="T18" i="1"/>
  <c r="T10" i="1"/>
  <c r="U6" i="1"/>
  <c r="S14" i="1"/>
  <c r="U20" i="1"/>
  <c r="S6" i="1"/>
  <c r="S13" i="1"/>
  <c r="S21" i="1"/>
  <c r="U11" i="1"/>
  <c r="U14" i="1"/>
</calcChain>
</file>

<file path=xl/sharedStrings.xml><?xml version="1.0" encoding="utf-8"?>
<sst xmlns="http://schemas.openxmlformats.org/spreadsheetml/2006/main" count="44" uniqueCount="44">
  <si>
    <t>0.1 N2O (mol/kg)</t>
  </si>
  <si>
    <t>0.1CO2 (mol/kg)</t>
  </si>
  <si>
    <t>0.1N2 (mol/kg)</t>
  </si>
  <si>
    <t>1N2O (mol/kg)</t>
  </si>
  <si>
    <t>1CO2 (mol/kg)</t>
  </si>
  <si>
    <t>1N2 (mol/kg)</t>
  </si>
  <si>
    <t>10N2O (mol/kg)</t>
  </si>
  <si>
    <t>10CO2 (mol/kg)</t>
  </si>
  <si>
    <t>10N2 (mol/kg)</t>
  </si>
  <si>
    <t>Sel VSA N2O</t>
  </si>
  <si>
    <t xml:space="preserve">SEL VSA N2O+CO2 </t>
  </si>
  <si>
    <t>SEL PSA N2O</t>
  </si>
  <si>
    <t>SEL PSA N2O+CO2</t>
  </si>
  <si>
    <t>WC PSA N2O</t>
  </si>
  <si>
    <t>WC VSA N2O</t>
  </si>
  <si>
    <t>WC VSA N2O+CO2</t>
  </si>
  <si>
    <t>WC PSA N2O+CO2</t>
  </si>
  <si>
    <t>APS PSA N2O</t>
  </si>
  <si>
    <t>APS PSA N2O+CO2</t>
  </si>
  <si>
    <t>APS VSA N2O</t>
  </si>
  <si>
    <t>APS VSA N2O+CO2</t>
  </si>
  <si>
    <t>MOF</t>
  </si>
  <si>
    <t>HiFiMOF-1</t>
  </si>
  <si>
    <t>HiFiMOF-2</t>
  </si>
  <si>
    <t>HiFiMOF-3</t>
  </si>
  <si>
    <t>HiFiMOF-4</t>
  </si>
  <si>
    <t>HiFiMOF-5</t>
  </si>
  <si>
    <t>HiFiMOF-6</t>
  </si>
  <si>
    <t>HiFiMOF-7</t>
  </si>
  <si>
    <t>HiFiMOF-8</t>
  </si>
  <si>
    <t>HiFiMOF-9</t>
  </si>
  <si>
    <t>HiFiMOF-10</t>
  </si>
  <si>
    <t>HiFiMOF-11</t>
  </si>
  <si>
    <t>HiFiMOF-12</t>
  </si>
  <si>
    <t>HiFiMOF-13</t>
  </si>
  <si>
    <t>HiFiMOF-14</t>
  </si>
  <si>
    <t>HiFiMOF-15</t>
  </si>
  <si>
    <t>HiFiMOF-16</t>
  </si>
  <si>
    <t>HiFiMOF-17</t>
  </si>
  <si>
    <t>HiFiMOF-18</t>
  </si>
  <si>
    <t>HiFiMOF-19</t>
  </si>
  <si>
    <t>HiFiMOF-20</t>
  </si>
  <si>
    <t>HiFiMOF-21</t>
  </si>
  <si>
    <t>HiFiMOF-22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</si>
</sst>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selection activeCell="A24" sqref="A24"/>
    </sheetView>
  </sheetViews>
  <sheetFormatPr defaultRowHeight="14.5" x14ac:dyDescent="0.35"/>
  <cols>
    <col min="1" max="1" width="35" bestFit="1" customWidth="1"/>
    <col min="2" max="2" width="16.1796875" bestFit="1" customWidth="1"/>
    <col min="3" max="3" width="15.453125" bestFit="1" customWidth="1"/>
    <col min="4" max="4" width="14.26953125" bestFit="1" customWidth="1"/>
    <col min="5" max="5" width="13.1796875" bestFit="1" customWidth="1"/>
    <col min="6" max="6" width="13.81640625" bestFit="1" customWidth="1"/>
    <col min="7" max="7" width="12.54296875" bestFit="1" customWidth="1"/>
    <col min="8" max="8" width="15.1796875" bestFit="1" customWidth="1"/>
    <col min="9" max="9" width="14.81640625" bestFit="1" customWidth="1"/>
    <col min="10" max="10" width="13.7265625" bestFit="1" customWidth="1"/>
    <col min="11" max="11" width="12" bestFit="1" customWidth="1"/>
    <col min="12" max="12" width="17.453125" bestFit="1" customWidth="1"/>
    <col min="13" max="13" width="12" bestFit="1" customWidth="1"/>
    <col min="14" max="14" width="16.7265625" bestFit="1" customWidth="1"/>
    <col min="15" max="15" width="12.453125" bestFit="1" customWidth="1"/>
    <col min="16" max="16" width="17.26953125" bestFit="1" customWidth="1"/>
    <col min="17" max="17" width="12.26953125" bestFit="1" customWidth="1"/>
    <col min="18" max="18" width="17" bestFit="1" customWidth="1"/>
    <col min="20" max="20" width="9.26953125" customWidth="1"/>
  </cols>
  <sheetData>
    <row r="1" spans="1:22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  <c r="Q1" s="2" t="s">
        <v>13</v>
      </c>
      <c r="R1" s="2" t="s">
        <v>16</v>
      </c>
      <c r="S1" s="2" t="s">
        <v>19</v>
      </c>
      <c r="T1" s="2" t="s">
        <v>20</v>
      </c>
      <c r="U1" s="2" t="s">
        <v>17</v>
      </c>
      <c r="V1" s="2" t="s">
        <v>18</v>
      </c>
    </row>
    <row r="2" spans="1:22" x14ac:dyDescent="0.35">
      <c r="A2" t="s">
        <v>22</v>
      </c>
      <c r="B2">
        <v>7.5003057200000001E-2</v>
      </c>
      <c r="C2">
        <v>7.0543610899999998E-2</v>
      </c>
      <c r="D2">
        <v>1.2014162300000001E-2</v>
      </c>
      <c r="E2">
        <v>0.72928097530000002</v>
      </c>
      <c r="F2">
        <v>0.69061205650000002</v>
      </c>
      <c r="G2">
        <v>0.1152635154</v>
      </c>
      <c r="H2">
        <v>6.4917432959000001</v>
      </c>
      <c r="I2">
        <v>6.6328681502000002</v>
      </c>
      <c r="J2">
        <v>0.42337456280000002</v>
      </c>
      <c r="K2">
        <f t="shared" ref="K2:K22" si="0">E2/(F2+G2)/(0.3/0.7)</f>
        <v>2.1115612240502175</v>
      </c>
      <c r="L2">
        <f t="shared" ref="L2:L23" si="1">(E2+F2)/G2/(0.6/0.4)</f>
        <v>8.2124456403082551</v>
      </c>
      <c r="M2">
        <f>H2/(I2+J2)/(0.3/0.7)</f>
        <v>2.1466666666468259</v>
      </c>
      <c r="N2">
        <f>(H2+I2)/J2/(0.6/0.4)</f>
        <v>20.666666665564417</v>
      </c>
      <c r="O2">
        <f t="shared" ref="O2:O23" si="2">E2-B2</f>
        <v>0.65427791810000002</v>
      </c>
      <c r="P2">
        <f>E2+F2-B2-C2</f>
        <v>1.2743463637000001</v>
      </c>
      <c r="Q2">
        <f t="shared" ref="Q2:Q23" si="3">H2-E2</f>
        <v>5.7624623206000001</v>
      </c>
      <c r="R2">
        <f t="shared" ref="R2:R23" si="4">H2+I2-E2-F2</f>
        <v>11.7047184143</v>
      </c>
      <c r="S2">
        <f>K2*O2</f>
        <v>1.3815478816122639</v>
      </c>
      <c r="T2">
        <f>L2*P2</f>
        <v>10.465500238810744</v>
      </c>
      <c r="U2">
        <f>M2*Q2</f>
        <v>12.370085781440336</v>
      </c>
      <c r="V2">
        <f>N2*R2</f>
        <v>241.89751388263181</v>
      </c>
    </row>
    <row r="3" spans="1:22" x14ac:dyDescent="0.35">
      <c r="A3" t="s">
        <v>23</v>
      </c>
      <c r="B3">
        <v>5.8451256200000003E-2</v>
      </c>
      <c r="C3">
        <v>5.3275821899999999E-2</v>
      </c>
      <c r="D3">
        <v>1.14344141E-2</v>
      </c>
      <c r="E3">
        <v>0.59768666869999998</v>
      </c>
      <c r="F3">
        <v>0.54828903650000005</v>
      </c>
      <c r="G3">
        <v>0.1088075251</v>
      </c>
      <c r="H3">
        <v>5.7908155022000001</v>
      </c>
      <c r="I3">
        <v>5.4106357521000001</v>
      </c>
      <c r="J3">
        <v>0.55435967519999996</v>
      </c>
      <c r="K3">
        <f t="shared" si="0"/>
        <v>2.1223703006006818</v>
      </c>
      <c r="L3">
        <f t="shared" si="1"/>
        <v>7.021424324875734</v>
      </c>
      <c r="M3">
        <f t="shared" ref="M3:M23" si="5">H3/(I3+J3)/(0.3/0.7)</f>
        <v>2.2651991947264078</v>
      </c>
      <c r="N3">
        <f t="shared" ref="N3:N23" si="6">(H3+I3)/J3/(0.6/0.4)</f>
        <v>13.47073840975029</v>
      </c>
      <c r="O3">
        <f t="shared" si="2"/>
        <v>0.53923541249999996</v>
      </c>
      <c r="P3">
        <f t="shared" ref="P3:P23" si="7">E3+F3-B3-C3</f>
        <v>1.0342486271000002</v>
      </c>
      <c r="Q3">
        <f t="shared" si="3"/>
        <v>5.1931288335000003</v>
      </c>
      <c r="R3">
        <f t="shared" si="4"/>
        <v>10.055475549100001</v>
      </c>
      <c r="S3">
        <f t="shared" ref="S3:S23" si="8">K3*O3</f>
        <v>1.1444572245221576</v>
      </c>
      <c r="T3">
        <f t="shared" ref="T3:T23" si="9">L3*P3</f>
        <v>7.2618984682892735</v>
      </c>
      <c r="U3">
        <f t="shared" ref="U3:U23" si="10">M3*Q3</f>
        <v>11.763471251754691</v>
      </c>
      <c r="V3">
        <f t="shared" ref="V3:V23" si="11">N3*R3</f>
        <v>135.45468070756627</v>
      </c>
    </row>
    <row r="4" spans="1:22" x14ac:dyDescent="0.35">
      <c r="A4" t="s">
        <v>24</v>
      </c>
      <c r="B4">
        <v>3.8998524E-2</v>
      </c>
      <c r="C4">
        <v>3.6244092700000001E-2</v>
      </c>
      <c r="D4">
        <v>1.00725947E-2</v>
      </c>
      <c r="E4">
        <v>0.41120228170000001</v>
      </c>
      <c r="F4">
        <v>0.38411733329999997</v>
      </c>
      <c r="G4">
        <v>0.1030122128</v>
      </c>
      <c r="H4">
        <v>5.5630974656000003</v>
      </c>
      <c r="I4">
        <v>5.2445721239000003</v>
      </c>
      <c r="J4">
        <v>0.6833573422</v>
      </c>
      <c r="K4">
        <f t="shared" si="0"/>
        <v>1.9696444165929712</v>
      </c>
      <c r="L4">
        <f t="shared" si="1"/>
        <v>5.147089478565853</v>
      </c>
      <c r="M4">
        <f t="shared" si="5"/>
        <v>2.1897292852923584</v>
      </c>
      <c r="N4">
        <f t="shared" si="6"/>
        <v>10.543697440157056</v>
      </c>
      <c r="O4">
        <f t="shared" si="2"/>
        <v>0.37220375770000003</v>
      </c>
      <c r="P4">
        <f t="shared" si="7"/>
        <v>0.72007699829999994</v>
      </c>
      <c r="Q4">
        <f t="shared" si="3"/>
        <v>5.1518951839000007</v>
      </c>
      <c r="R4">
        <f t="shared" si="4"/>
        <v>10.012349974500001</v>
      </c>
      <c r="S4">
        <f t="shared" si="8"/>
        <v>0.73310905318872821</v>
      </c>
      <c r="T4">
        <f t="shared" si="9"/>
        <v>3.7063007417072114</v>
      </c>
      <c r="U4">
        <f t="shared" si="10"/>
        <v>11.281255758942493</v>
      </c>
      <c r="V4">
        <f t="shared" si="11"/>
        <v>105.56718879609222</v>
      </c>
    </row>
    <row r="5" spans="1:22" x14ac:dyDescent="0.35">
      <c r="A5" t="s">
        <v>25</v>
      </c>
      <c r="B5">
        <v>6.3966865600000006E-2</v>
      </c>
      <c r="C5">
        <v>5.9269331000000001E-2</v>
      </c>
      <c r="D5">
        <v>1.2230901299999999E-2</v>
      </c>
      <c r="E5">
        <v>0.61926328129999997</v>
      </c>
      <c r="F5">
        <v>0.57718058930000005</v>
      </c>
      <c r="G5">
        <v>0.11599477530000001</v>
      </c>
      <c r="H5">
        <v>6.2058129041000001</v>
      </c>
      <c r="I5">
        <v>5.0834850385000001</v>
      </c>
      <c r="J5">
        <v>1.1223278656</v>
      </c>
      <c r="K5">
        <f t="shared" si="0"/>
        <v>2.0845340589974368</v>
      </c>
      <c r="L5">
        <f t="shared" si="1"/>
        <v>6.8764239165405474</v>
      </c>
      <c r="M5">
        <f t="shared" si="5"/>
        <v>2.333333333333333</v>
      </c>
      <c r="N5">
        <f t="shared" si="6"/>
        <v>6.7058823531717913</v>
      </c>
      <c r="O5">
        <f t="shared" si="2"/>
        <v>0.55529641569999999</v>
      </c>
      <c r="P5">
        <f t="shared" si="7"/>
        <v>1.0732076739999998</v>
      </c>
      <c r="Q5">
        <f t="shared" si="3"/>
        <v>5.5865496227999998</v>
      </c>
      <c r="R5">
        <f t="shared" si="4"/>
        <v>10.092854072000002</v>
      </c>
      <c r="S5">
        <f t="shared" si="8"/>
        <v>1.1575342913658491</v>
      </c>
      <c r="T5">
        <f t="shared" si="9"/>
        <v>7.3798309169084497</v>
      </c>
      <c r="U5">
        <f t="shared" si="10"/>
        <v>13.035282453199997</v>
      </c>
      <c r="V5">
        <f t="shared" si="11"/>
        <v>67.681492014562863</v>
      </c>
    </row>
    <row r="6" spans="1:22" x14ac:dyDescent="0.35">
      <c r="A6" t="s">
        <v>26</v>
      </c>
      <c r="B6">
        <v>4.3883953199999999E-2</v>
      </c>
      <c r="C6">
        <v>4.1729122600000002E-2</v>
      </c>
      <c r="D6">
        <v>9.5366320999999993E-3</v>
      </c>
      <c r="E6">
        <v>0.42328670309999999</v>
      </c>
      <c r="F6">
        <v>0.40251820510000003</v>
      </c>
      <c r="G6">
        <v>9.3720060699999996E-2</v>
      </c>
      <c r="H6">
        <v>3.9128257195999998</v>
      </c>
      <c r="I6">
        <v>3.7915260879999999</v>
      </c>
      <c r="J6">
        <v>0.78216582219999997</v>
      </c>
      <c r="K6">
        <f t="shared" si="0"/>
        <v>1.9903119972172043</v>
      </c>
      <c r="L6">
        <f t="shared" si="1"/>
        <v>5.8742664201738695</v>
      </c>
      <c r="M6">
        <f t="shared" si="5"/>
        <v>1.996183140081123</v>
      </c>
      <c r="N6">
        <f t="shared" si="6"/>
        <v>6.5666823998436801</v>
      </c>
      <c r="O6">
        <f t="shared" si="2"/>
        <v>0.3794027499</v>
      </c>
      <c r="P6">
        <f t="shared" si="7"/>
        <v>0.74019183240000008</v>
      </c>
      <c r="Q6">
        <f t="shared" si="3"/>
        <v>3.4895390164999998</v>
      </c>
      <c r="R6">
        <f t="shared" si="4"/>
        <v>6.8785468994000007</v>
      </c>
      <c r="S6">
        <f t="shared" si="8"/>
        <v>0.75512984490316848</v>
      </c>
      <c r="T6">
        <f t="shared" si="9"/>
        <v>4.348084025554285</v>
      </c>
      <c r="U6">
        <f t="shared" si="10"/>
        <v>6.9657589513925631</v>
      </c>
      <c r="V6">
        <f t="shared" si="11"/>
        <v>45.1692328607893</v>
      </c>
    </row>
    <row r="7" spans="1:22" x14ac:dyDescent="0.35">
      <c r="A7" t="s">
        <v>27</v>
      </c>
      <c r="B7">
        <v>3.4533988199999997E-2</v>
      </c>
      <c r="C7">
        <v>3.2104521800000001E-2</v>
      </c>
      <c r="D7">
        <v>9.1771833000000008E-3</v>
      </c>
      <c r="E7">
        <v>0.34335497710000001</v>
      </c>
      <c r="F7">
        <v>0.31896419149999999</v>
      </c>
      <c r="G7">
        <v>8.8965090299999994E-2</v>
      </c>
      <c r="H7">
        <v>3.2030123906000001</v>
      </c>
      <c r="I7">
        <v>2.9919275626999999</v>
      </c>
      <c r="J7">
        <v>0.71402042509999997</v>
      </c>
      <c r="K7">
        <f t="shared" si="0"/>
        <v>1.9639718181008827</v>
      </c>
      <c r="L7">
        <f t="shared" si="1"/>
        <v>4.9631390347726105</v>
      </c>
      <c r="M7">
        <f t="shared" si="5"/>
        <v>2.0166757878605179</v>
      </c>
      <c r="N7">
        <f t="shared" si="6"/>
        <v>5.7840921963657532</v>
      </c>
      <c r="O7">
        <f t="shared" si="2"/>
        <v>0.30882098890000004</v>
      </c>
      <c r="P7">
        <f t="shared" si="7"/>
        <v>0.59568065860000008</v>
      </c>
      <c r="Q7">
        <f t="shared" si="3"/>
        <v>2.8596574134999999</v>
      </c>
      <c r="R7">
        <f t="shared" si="4"/>
        <v>5.5326207847000006</v>
      </c>
      <c r="S7">
        <f t="shared" si="8"/>
        <v>0.60651571903764556</v>
      </c>
      <c r="T7">
        <f t="shared" si="9"/>
        <v>2.9564459289567173</v>
      </c>
      <c r="U7">
        <f t="shared" si="10"/>
        <v>5.7670018673812828</v>
      </c>
      <c r="V7">
        <f t="shared" si="11"/>
        <v>32.001188706234245</v>
      </c>
    </row>
    <row r="8" spans="1:22" x14ac:dyDescent="0.35">
      <c r="A8" t="s">
        <v>28</v>
      </c>
      <c r="B8">
        <v>3.5198096800000002E-2</v>
      </c>
      <c r="C8">
        <v>3.3466883400000001E-2</v>
      </c>
      <c r="D8">
        <v>1.20722956E-2</v>
      </c>
      <c r="E8">
        <v>0.3584000739</v>
      </c>
      <c r="F8">
        <v>0.3385567699</v>
      </c>
      <c r="G8">
        <v>0.1239689808</v>
      </c>
      <c r="H8">
        <v>3.811210338</v>
      </c>
      <c r="I8">
        <v>3.6125706226999998</v>
      </c>
      <c r="J8">
        <v>1.1281748649000001</v>
      </c>
      <c r="K8">
        <f t="shared" si="0"/>
        <v>1.8080438501734644</v>
      </c>
      <c r="L8">
        <f t="shared" si="1"/>
        <v>3.7480173900620368</v>
      </c>
      <c r="M8">
        <f t="shared" si="5"/>
        <v>1.875828209985174</v>
      </c>
      <c r="N8">
        <f t="shared" si="6"/>
        <v>4.3868973340157007</v>
      </c>
      <c r="O8">
        <f t="shared" si="2"/>
        <v>0.32320197709999998</v>
      </c>
      <c r="P8">
        <f t="shared" si="7"/>
        <v>0.6282918636</v>
      </c>
      <c r="Q8">
        <f t="shared" si="3"/>
        <v>3.4528102641</v>
      </c>
      <c r="R8">
        <f t="shared" si="4"/>
        <v>6.7268241168999996</v>
      </c>
      <c r="S8">
        <f t="shared" si="8"/>
        <v>0.58436334705955983</v>
      </c>
      <c r="T8">
        <f t="shared" si="9"/>
        <v>2.3548488308072852</v>
      </c>
      <c r="U8">
        <f t="shared" si="10"/>
        <v>6.4768788971251388</v>
      </c>
      <c r="V8">
        <f t="shared" si="11"/>
        <v>29.509886784821127</v>
      </c>
    </row>
    <row r="9" spans="1:22" x14ac:dyDescent="0.35">
      <c r="A9" t="s">
        <v>29</v>
      </c>
      <c r="B9">
        <v>4.1391078499999998E-2</v>
      </c>
      <c r="C9">
        <v>3.8906173299999999E-2</v>
      </c>
      <c r="D9">
        <v>1.4181966400000001E-2</v>
      </c>
      <c r="E9">
        <v>0.40742602300000003</v>
      </c>
      <c r="F9">
        <v>0.38449286859999998</v>
      </c>
      <c r="G9">
        <v>0.14485917139999999</v>
      </c>
      <c r="H9">
        <v>3.8399924873</v>
      </c>
      <c r="I9">
        <v>3.6315989707999998</v>
      </c>
      <c r="J9">
        <v>1.3169061414000001</v>
      </c>
      <c r="K9">
        <f t="shared" si="0"/>
        <v>1.7958950726502032</v>
      </c>
      <c r="L9">
        <f t="shared" si="1"/>
        <v>3.6445460969503611</v>
      </c>
      <c r="M9">
        <f t="shared" si="5"/>
        <v>1.8106442788705637</v>
      </c>
      <c r="N9">
        <f t="shared" si="6"/>
        <v>3.7823963420592084</v>
      </c>
      <c r="O9">
        <f t="shared" si="2"/>
        <v>0.36603494450000001</v>
      </c>
      <c r="P9">
        <f t="shared" si="7"/>
        <v>0.71162163979999993</v>
      </c>
      <c r="Q9">
        <f t="shared" si="3"/>
        <v>3.4325664642999998</v>
      </c>
      <c r="R9">
        <f t="shared" si="4"/>
        <v>6.6796725664999999</v>
      </c>
      <c r="S9">
        <f t="shared" si="8"/>
        <v>0.65736035324534059</v>
      </c>
      <c r="T9">
        <f t="shared" si="9"/>
        <v>2.5935378698385056</v>
      </c>
      <c r="U9">
        <f t="shared" si="10"/>
        <v>6.2151568304277536</v>
      </c>
      <c r="V9">
        <f t="shared" si="11"/>
        <v>25.265169081682842</v>
      </c>
    </row>
    <row r="10" spans="1:22" x14ac:dyDescent="0.35">
      <c r="A10" t="s">
        <v>30</v>
      </c>
      <c r="B10">
        <v>2.7605183299999999E-2</v>
      </c>
      <c r="C10">
        <v>2.6413683699999999E-2</v>
      </c>
      <c r="D10">
        <v>1.00292083E-2</v>
      </c>
      <c r="E10">
        <v>0.27688534050000002</v>
      </c>
      <c r="F10">
        <v>0.26289652060000002</v>
      </c>
      <c r="G10">
        <v>9.8666653100000001E-2</v>
      </c>
      <c r="H10">
        <v>3.0193937679</v>
      </c>
      <c r="I10">
        <v>2.8704906712999998</v>
      </c>
      <c r="J10">
        <v>0.94034630600000002</v>
      </c>
      <c r="K10">
        <f t="shared" si="0"/>
        <v>1.7868683579928426</v>
      </c>
      <c r="L10">
        <f t="shared" si="1"/>
        <v>3.6471752386487584</v>
      </c>
      <c r="M10">
        <f t="shared" si="5"/>
        <v>1.8487414095817873</v>
      </c>
      <c r="N10">
        <f t="shared" si="6"/>
        <v>4.1756846398813137</v>
      </c>
      <c r="O10">
        <f t="shared" si="2"/>
        <v>0.24928015720000002</v>
      </c>
      <c r="P10">
        <f t="shared" si="7"/>
        <v>0.48576299410000007</v>
      </c>
      <c r="Q10">
        <f t="shared" si="3"/>
        <v>2.7425084273999998</v>
      </c>
      <c r="R10">
        <f t="shared" si="4"/>
        <v>5.3501025780999996</v>
      </c>
      <c r="S10">
        <f t="shared" si="8"/>
        <v>0.44543082517616173</v>
      </c>
      <c r="T10">
        <f t="shared" si="9"/>
        <v>1.7716627639334031</v>
      </c>
      <c r="U10">
        <f t="shared" si="10"/>
        <v>5.0701888958614063</v>
      </c>
      <c r="V10">
        <f t="shared" si="11"/>
        <v>22.340341157161586</v>
      </c>
    </row>
    <row r="11" spans="1:22" x14ac:dyDescent="0.35">
      <c r="A11" t="s">
        <v>31</v>
      </c>
      <c r="B11">
        <v>2.6577613399999998E-2</v>
      </c>
      <c r="C11">
        <v>2.5813868100000002E-2</v>
      </c>
      <c r="D11">
        <v>8.5131418000000004E-3</v>
      </c>
      <c r="E11">
        <v>0.26499252760000003</v>
      </c>
      <c r="F11">
        <v>0.25434523240000001</v>
      </c>
      <c r="G11">
        <v>8.7491264400000004E-2</v>
      </c>
      <c r="H11">
        <v>2.6035570905999998</v>
      </c>
      <c r="I11">
        <v>2.5357390379</v>
      </c>
      <c r="J11">
        <v>0.81860132559999998</v>
      </c>
      <c r="K11">
        <f t="shared" si="0"/>
        <v>1.8088059745565863</v>
      </c>
      <c r="L11">
        <f t="shared" si="1"/>
        <v>3.9572541979783455</v>
      </c>
      <c r="M11">
        <f t="shared" si="5"/>
        <v>1.8110763626844848</v>
      </c>
      <c r="N11">
        <f t="shared" si="6"/>
        <v>4.1854286230097948</v>
      </c>
      <c r="O11">
        <f t="shared" si="2"/>
        <v>0.23841491420000002</v>
      </c>
      <c r="P11">
        <f t="shared" si="7"/>
        <v>0.46694627849999998</v>
      </c>
      <c r="Q11">
        <f t="shared" si="3"/>
        <v>2.3385645629999998</v>
      </c>
      <c r="R11">
        <f t="shared" si="4"/>
        <v>4.619958368499999</v>
      </c>
      <c r="S11">
        <f t="shared" si="8"/>
        <v>0.43124632122835593</v>
      </c>
      <c r="T11">
        <f t="shared" si="9"/>
        <v>1.8478251208244907</v>
      </c>
      <c r="U11">
        <f t="shared" si="10"/>
        <v>4.2353190026608711</v>
      </c>
      <c r="V11">
        <f t="shared" si="11"/>
        <v>19.33650599263353</v>
      </c>
    </row>
    <row r="12" spans="1:22" x14ac:dyDescent="0.35">
      <c r="A12" t="s">
        <v>32</v>
      </c>
      <c r="B12">
        <v>2.7657177299999999E-2</v>
      </c>
      <c r="C12">
        <v>2.6914156200000001E-2</v>
      </c>
      <c r="D12">
        <v>1.13132588E-2</v>
      </c>
      <c r="E12">
        <v>0.28441420709999998</v>
      </c>
      <c r="F12">
        <v>0.27106527419999998</v>
      </c>
      <c r="G12">
        <v>0.1142165847</v>
      </c>
      <c r="H12">
        <v>2.9238845152000001</v>
      </c>
      <c r="I12">
        <v>2.8028840466</v>
      </c>
      <c r="J12">
        <v>1.0993810663000001</v>
      </c>
      <c r="K12">
        <f t="shared" si="0"/>
        <v>1.7224614514545469</v>
      </c>
      <c r="L12">
        <f t="shared" si="1"/>
        <v>3.2422581639319494</v>
      </c>
      <c r="M12">
        <f t="shared" si="5"/>
        <v>1.7483171964867383</v>
      </c>
      <c r="N12">
        <f t="shared" si="6"/>
        <v>3.4727228118597147</v>
      </c>
      <c r="O12">
        <f t="shared" si="2"/>
        <v>0.25675702979999998</v>
      </c>
      <c r="P12">
        <f t="shared" si="7"/>
        <v>0.50090814779999993</v>
      </c>
      <c r="Q12">
        <f t="shared" si="3"/>
        <v>2.6394703080999999</v>
      </c>
      <c r="R12">
        <f t="shared" si="4"/>
        <v>5.1712890805000002</v>
      </c>
      <c r="S12">
        <f t="shared" si="8"/>
        <v>0.4422540862204663</v>
      </c>
      <c r="T12">
        <f t="shared" si="9"/>
        <v>1.6240735315845813</v>
      </c>
      <c r="U12">
        <f t="shared" si="10"/>
        <v>4.6146313292673797</v>
      </c>
      <c r="V12">
        <f t="shared" si="11"/>
        <v>17.958453556573399</v>
      </c>
    </row>
    <row r="13" spans="1:22" x14ac:dyDescent="0.35">
      <c r="A13" t="s">
        <v>33</v>
      </c>
      <c r="B13">
        <v>2.6183609900000002E-2</v>
      </c>
      <c r="C13">
        <v>2.4925712900000001E-2</v>
      </c>
      <c r="D13">
        <v>1.08217847E-2</v>
      </c>
      <c r="E13">
        <v>0.26715797120000001</v>
      </c>
      <c r="F13">
        <v>0.25713737019999999</v>
      </c>
      <c r="G13">
        <v>0.106251657</v>
      </c>
      <c r="H13">
        <v>2.7329534746999999</v>
      </c>
      <c r="I13">
        <v>2.6100704841</v>
      </c>
      <c r="J13">
        <v>1.0183856729</v>
      </c>
      <c r="K13">
        <f t="shared" si="0"/>
        <v>1.7154304417771553</v>
      </c>
      <c r="L13">
        <f t="shared" si="1"/>
        <v>3.2896449567840627</v>
      </c>
      <c r="M13">
        <f t="shared" si="5"/>
        <v>1.7574668578162087</v>
      </c>
      <c r="N13">
        <f t="shared" si="6"/>
        <v>3.4977082526995691</v>
      </c>
      <c r="O13">
        <f t="shared" si="2"/>
        <v>0.2409743613</v>
      </c>
      <c r="P13">
        <f t="shared" si="7"/>
        <v>0.47318601859999998</v>
      </c>
      <c r="Q13">
        <f t="shared" si="3"/>
        <v>2.4657955034999999</v>
      </c>
      <c r="R13">
        <f t="shared" si="4"/>
        <v>4.8187286174000006</v>
      </c>
      <c r="S13">
        <f t="shared" si="8"/>
        <v>0.4133747550618268</v>
      </c>
      <c r="T13">
        <f t="shared" si="9"/>
        <v>1.5566139997082196</v>
      </c>
      <c r="U13">
        <f t="shared" si="10"/>
        <v>4.3335538755534806</v>
      </c>
      <c r="V13">
        <f t="shared" si="11"/>
        <v>16.854506852599567</v>
      </c>
    </row>
    <row r="14" spans="1:22" x14ac:dyDescent="0.35">
      <c r="A14" t="s">
        <v>34</v>
      </c>
      <c r="B14">
        <v>3.42638439E-2</v>
      </c>
      <c r="C14">
        <v>3.2023533999999999E-2</v>
      </c>
      <c r="D14">
        <v>1.5749044100000002E-2</v>
      </c>
      <c r="E14">
        <v>0.34249035890000001</v>
      </c>
      <c r="F14">
        <v>0.32492136160000001</v>
      </c>
      <c r="G14">
        <v>0.15492531009999999</v>
      </c>
      <c r="H14">
        <v>3.1454523977000002</v>
      </c>
      <c r="I14">
        <v>3.0113108579999999</v>
      </c>
      <c r="J14">
        <v>1.4918839719000001</v>
      </c>
      <c r="K14">
        <f t="shared" si="0"/>
        <v>1.6654156794199697</v>
      </c>
      <c r="L14">
        <f t="shared" si="1"/>
        <v>2.8719719632176499</v>
      </c>
      <c r="M14">
        <f t="shared" si="5"/>
        <v>1.6298182080053703</v>
      </c>
      <c r="N14">
        <f t="shared" si="6"/>
        <v>2.751225238988261</v>
      </c>
      <c r="O14">
        <f t="shared" si="2"/>
        <v>0.30822651500000003</v>
      </c>
      <c r="P14">
        <f t="shared" si="7"/>
        <v>0.60112434260000003</v>
      </c>
      <c r="Q14">
        <f t="shared" si="3"/>
        <v>2.8029620388000001</v>
      </c>
      <c r="R14">
        <f t="shared" si="4"/>
        <v>5.4893515351999991</v>
      </c>
      <c r="S14">
        <f t="shared" si="8"/>
        <v>0.51332527089397451</v>
      </c>
      <c r="T14">
        <f t="shared" si="9"/>
        <v>1.7264122583548414</v>
      </c>
      <c r="U14">
        <f t="shared" si="10"/>
        <v>4.5683185671840949</v>
      </c>
      <c r="V14">
        <f t="shared" si="11"/>
        <v>15.102442489321195</v>
      </c>
    </row>
    <row r="15" spans="1:22" x14ac:dyDescent="0.35">
      <c r="A15" t="s">
        <v>35</v>
      </c>
      <c r="B15">
        <v>2.4186718499999999E-2</v>
      </c>
      <c r="C15">
        <v>2.3094340200000001E-2</v>
      </c>
      <c r="D15">
        <v>7.7412773000000001E-3</v>
      </c>
      <c r="E15">
        <v>0.23633722739999999</v>
      </c>
      <c r="F15">
        <v>0.225941371</v>
      </c>
      <c r="G15">
        <v>7.3564546100000003E-2</v>
      </c>
      <c r="H15">
        <v>2.1257168876999999</v>
      </c>
      <c r="I15">
        <v>2.0523050753000001</v>
      </c>
      <c r="J15">
        <v>0.68916293429999997</v>
      </c>
      <c r="K15">
        <f t="shared" si="0"/>
        <v>1.8412108045794593</v>
      </c>
      <c r="L15">
        <f t="shared" si="1"/>
        <v>4.1893241867860409</v>
      </c>
      <c r="M15">
        <f t="shared" si="5"/>
        <v>1.8092518511728684</v>
      </c>
      <c r="N15">
        <f t="shared" si="6"/>
        <v>4.0416392651216526</v>
      </c>
      <c r="O15">
        <f t="shared" si="2"/>
        <v>0.21215050889999998</v>
      </c>
      <c r="P15">
        <f t="shared" si="7"/>
        <v>0.41499753969999997</v>
      </c>
      <c r="Q15">
        <f t="shared" si="3"/>
        <v>1.8893796602999999</v>
      </c>
      <c r="R15">
        <f t="shared" si="4"/>
        <v>3.7157433645999998</v>
      </c>
      <c r="S15">
        <f t="shared" si="8"/>
        <v>0.39061380918371069</v>
      </c>
      <c r="T15">
        <f t="shared" si="9"/>
        <v>1.7385592305219102</v>
      </c>
      <c r="U15">
        <f t="shared" si="10"/>
        <v>3.4183636479661401</v>
      </c>
      <c r="V15">
        <f t="shared" si="11"/>
        <v>15.0176942814826</v>
      </c>
    </row>
    <row r="16" spans="1:22" x14ac:dyDescent="0.35">
      <c r="A16" t="s">
        <v>36</v>
      </c>
      <c r="B16">
        <v>2.83094113E-2</v>
      </c>
      <c r="C16">
        <v>2.8255244700000001E-2</v>
      </c>
      <c r="D16">
        <v>1.3605653699999999E-2</v>
      </c>
      <c r="E16">
        <v>0.28386721729999997</v>
      </c>
      <c r="F16">
        <v>0.278263441</v>
      </c>
      <c r="G16">
        <v>0.1389963041</v>
      </c>
      <c r="H16">
        <v>2.8173453233000001</v>
      </c>
      <c r="I16">
        <v>2.8121157886999999</v>
      </c>
      <c r="J16">
        <v>1.3675922540000001</v>
      </c>
      <c r="K16">
        <f t="shared" si="0"/>
        <v>1.5873969347508636</v>
      </c>
      <c r="L16">
        <f t="shared" si="1"/>
        <v>2.6961419918790495</v>
      </c>
      <c r="M16">
        <f t="shared" si="5"/>
        <v>1.5727906560000138</v>
      </c>
      <c r="N16">
        <f t="shared" si="6"/>
        <v>2.7442200434301864</v>
      </c>
      <c r="O16">
        <f t="shared" si="2"/>
        <v>0.255557806</v>
      </c>
      <c r="P16">
        <f t="shared" si="7"/>
        <v>0.50556600230000004</v>
      </c>
      <c r="Q16">
        <f t="shared" si="3"/>
        <v>2.533478106</v>
      </c>
      <c r="R16">
        <f t="shared" si="4"/>
        <v>5.0673304536999995</v>
      </c>
      <c r="S16">
        <f t="shared" si="8"/>
        <v>0.40567167789605585</v>
      </c>
      <c r="T16">
        <f t="shared" si="9"/>
        <v>1.3630777284674502</v>
      </c>
      <c r="U16">
        <f t="shared" si="10"/>
        <v>3.9846306922974124</v>
      </c>
      <c r="V16">
        <f t="shared" si="11"/>
        <v>13.905869797727719</v>
      </c>
    </row>
    <row r="17" spans="1:22" x14ac:dyDescent="0.35">
      <c r="A17" t="s">
        <v>37</v>
      </c>
      <c r="B17">
        <v>2.85953927E-2</v>
      </c>
      <c r="C17">
        <v>2.75526512E-2</v>
      </c>
      <c r="D17">
        <v>1.1762565500000001E-2</v>
      </c>
      <c r="E17">
        <v>0.28466291370000002</v>
      </c>
      <c r="F17">
        <v>0.27238173599999999</v>
      </c>
      <c r="G17">
        <v>0.1184146081</v>
      </c>
      <c r="H17">
        <v>2.5560518378000001</v>
      </c>
      <c r="I17">
        <v>2.4579955162</v>
      </c>
      <c r="J17">
        <v>1.1089362805</v>
      </c>
      <c r="K17">
        <f t="shared" si="0"/>
        <v>1.6996409391435761</v>
      </c>
      <c r="L17">
        <f t="shared" si="1"/>
        <v>3.1361257344734654</v>
      </c>
      <c r="M17">
        <f t="shared" si="5"/>
        <v>1.6720591518975669</v>
      </c>
      <c r="N17">
        <f t="shared" si="6"/>
        <v>3.0143285009061445</v>
      </c>
      <c r="O17">
        <f t="shared" si="2"/>
        <v>0.25606752100000002</v>
      </c>
      <c r="P17">
        <f t="shared" si="7"/>
        <v>0.50089660579999995</v>
      </c>
      <c r="Q17">
        <f t="shared" si="3"/>
        <v>2.2713889241</v>
      </c>
      <c r="R17">
        <f t="shared" si="4"/>
        <v>4.4570027043000007</v>
      </c>
      <c r="S17">
        <f t="shared" si="8"/>
        <v>0.43522284187660742</v>
      </c>
      <c r="T17">
        <f t="shared" si="9"/>
        <v>1.5708747357597908</v>
      </c>
      <c r="U17">
        <f t="shared" si="10"/>
        <v>3.7978966380601733</v>
      </c>
      <c r="V17">
        <f t="shared" si="11"/>
        <v>13.434870280187253</v>
      </c>
    </row>
    <row r="18" spans="1:22" x14ac:dyDescent="0.35">
      <c r="A18" t="s">
        <v>38</v>
      </c>
      <c r="B18">
        <v>2.3115306200000001E-2</v>
      </c>
      <c r="C18">
        <v>2.17427925E-2</v>
      </c>
      <c r="D18">
        <v>1.12201869E-2</v>
      </c>
      <c r="E18">
        <v>0.2375717158</v>
      </c>
      <c r="F18">
        <v>0.22614769030000001</v>
      </c>
      <c r="G18">
        <v>0.1115178766</v>
      </c>
      <c r="H18">
        <v>2.4789410653999999</v>
      </c>
      <c r="I18">
        <v>2.3873133141</v>
      </c>
      <c r="J18">
        <v>1.0885664934999999</v>
      </c>
      <c r="K18">
        <f t="shared" si="0"/>
        <v>1.6416657719130121</v>
      </c>
      <c r="L18">
        <f t="shared" si="1"/>
        <v>2.7721678367514166</v>
      </c>
      <c r="M18">
        <f t="shared" si="5"/>
        <v>1.6640954634333269</v>
      </c>
      <c r="N18">
        <f t="shared" si="6"/>
        <v>2.9802217923340244</v>
      </c>
      <c r="O18">
        <f t="shared" si="2"/>
        <v>0.21445640960000001</v>
      </c>
      <c r="P18">
        <f t="shared" si="7"/>
        <v>0.41886130739999999</v>
      </c>
      <c r="Q18">
        <f t="shared" si="3"/>
        <v>2.2413693495999998</v>
      </c>
      <c r="R18">
        <f t="shared" si="4"/>
        <v>4.4025349733999999</v>
      </c>
      <c r="S18">
        <f t="shared" si="8"/>
        <v>0.35206574720767714</v>
      </c>
      <c r="T18">
        <f t="shared" si="9"/>
        <v>1.1611538444339282</v>
      </c>
      <c r="U18">
        <f t="shared" si="10"/>
        <v>3.7298525665478661</v>
      </c>
      <c r="V18">
        <f t="shared" si="11"/>
        <v>13.120530669239374</v>
      </c>
    </row>
    <row r="19" spans="1:22" x14ac:dyDescent="0.35">
      <c r="A19" t="s">
        <v>39</v>
      </c>
      <c r="B19">
        <v>2.3889893200000002E-2</v>
      </c>
      <c r="C19">
        <v>2.2476611699999999E-2</v>
      </c>
      <c r="D19">
        <v>1.05226056E-2</v>
      </c>
      <c r="E19">
        <v>0.23819682110000001</v>
      </c>
      <c r="F19">
        <v>0.22502431270000001</v>
      </c>
      <c r="G19">
        <v>0.1110286637</v>
      </c>
      <c r="H19">
        <v>2.4643371564000001</v>
      </c>
      <c r="I19">
        <v>2.3606149769</v>
      </c>
      <c r="J19">
        <v>1.0838193171999999</v>
      </c>
      <c r="K19">
        <f t="shared" si="0"/>
        <v>1.6538838266533107</v>
      </c>
      <c r="L19">
        <f t="shared" si="1"/>
        <v>2.7813906689394843</v>
      </c>
      <c r="M19">
        <f t="shared" si="5"/>
        <v>1.669394606089432</v>
      </c>
      <c r="N19">
        <f t="shared" si="6"/>
        <v>2.9678699248905898</v>
      </c>
      <c r="O19">
        <f t="shared" si="2"/>
        <v>0.2143069279</v>
      </c>
      <c r="P19">
        <f t="shared" si="7"/>
        <v>0.41685462890000002</v>
      </c>
      <c r="Q19">
        <f t="shared" si="3"/>
        <v>2.2261403353000002</v>
      </c>
      <c r="R19">
        <f t="shared" si="4"/>
        <v>4.3617309995000006</v>
      </c>
      <c r="S19">
        <f t="shared" si="8"/>
        <v>0.35443876199356716</v>
      </c>
      <c r="T19">
        <f t="shared" si="9"/>
        <v>1.1594355751266916</v>
      </c>
      <c r="U19">
        <f t="shared" si="10"/>
        <v>3.71630666814794</v>
      </c>
      <c r="V19">
        <f t="shared" si="11"/>
        <v>12.945050253879025</v>
      </c>
    </row>
    <row r="20" spans="1:22" x14ac:dyDescent="0.35">
      <c r="A20" t="s">
        <v>40</v>
      </c>
      <c r="B20">
        <v>3.05553205E-2</v>
      </c>
      <c r="C20">
        <v>2.88213228E-2</v>
      </c>
      <c r="D20">
        <v>1.1847018500000001E-2</v>
      </c>
      <c r="E20">
        <v>0.29656865910000002</v>
      </c>
      <c r="F20">
        <v>0.28239391580000001</v>
      </c>
      <c r="G20">
        <v>0.1154386379</v>
      </c>
      <c r="H20">
        <v>2.5031259861000001</v>
      </c>
      <c r="I20">
        <v>2.4022985398999999</v>
      </c>
      <c r="J20">
        <v>1.0950687151</v>
      </c>
      <c r="K20">
        <f t="shared" si="0"/>
        <v>1.739409033936983</v>
      </c>
      <c r="L20">
        <f t="shared" si="1"/>
        <v>3.3435516648047128</v>
      </c>
      <c r="M20">
        <f t="shared" si="5"/>
        <v>1.6700068580301271</v>
      </c>
      <c r="N20">
        <f t="shared" si="6"/>
        <v>2.9863724278112507</v>
      </c>
      <c r="O20">
        <f t="shared" si="2"/>
        <v>0.26601333860000004</v>
      </c>
      <c r="P20">
        <f t="shared" si="7"/>
        <v>0.5195859316</v>
      </c>
      <c r="Q20">
        <f t="shared" si="3"/>
        <v>2.2065573270000001</v>
      </c>
      <c r="R20">
        <f t="shared" si="4"/>
        <v>4.3264619510999998</v>
      </c>
      <c r="S20">
        <f t="shared" si="8"/>
        <v>0.46270600430857761</v>
      </c>
      <c r="T20">
        <f t="shared" si="9"/>
        <v>1.7372624066102875</v>
      </c>
      <c r="U20">
        <f t="shared" si="10"/>
        <v>3.6849658687266258</v>
      </c>
      <c r="V20">
        <f t="shared" si="11"/>
        <v>12.920426680739507</v>
      </c>
    </row>
    <row r="21" spans="1:22" x14ac:dyDescent="0.35">
      <c r="A21" t="s">
        <v>41</v>
      </c>
      <c r="B21">
        <v>3.3735527899999999E-2</v>
      </c>
      <c r="C21">
        <v>3.5161788100000001E-2</v>
      </c>
      <c r="D21">
        <v>2.8651515400000001E-2</v>
      </c>
      <c r="E21">
        <v>0.34699700839999997</v>
      </c>
      <c r="F21">
        <v>0.34662860169999998</v>
      </c>
      <c r="G21">
        <v>0.29036237259999997</v>
      </c>
      <c r="H21">
        <v>3.4301032162</v>
      </c>
      <c r="I21">
        <v>3.4604072987999999</v>
      </c>
      <c r="J21">
        <v>2.9044973763000002</v>
      </c>
      <c r="K21">
        <f t="shared" si="0"/>
        <v>1.2710693226955296</v>
      </c>
      <c r="L21">
        <f t="shared" si="1"/>
        <v>1.5925516424850983</v>
      </c>
      <c r="M21">
        <f t="shared" si="5"/>
        <v>1.2574538943912128</v>
      </c>
      <c r="N21">
        <f t="shared" si="6"/>
        <v>1.5815726721428427</v>
      </c>
      <c r="O21">
        <f t="shared" si="2"/>
        <v>0.31326148049999997</v>
      </c>
      <c r="P21">
        <f t="shared" si="7"/>
        <v>0.62472829409999997</v>
      </c>
      <c r="Q21">
        <f t="shared" si="3"/>
        <v>3.0831062078000002</v>
      </c>
      <c r="R21">
        <f t="shared" si="4"/>
        <v>6.1968849049000001</v>
      </c>
      <c r="S21">
        <f t="shared" si="8"/>
        <v>0.39817705784573382</v>
      </c>
      <c r="T21">
        <f t="shared" si="9"/>
        <v>0.99491207087586853</v>
      </c>
      <c r="U21">
        <f t="shared" si="10"/>
        <v>3.8768639078198341</v>
      </c>
      <c r="V21">
        <f t="shared" si="11"/>
        <v>9.8008238180043392</v>
      </c>
    </row>
    <row r="22" spans="1:22" x14ac:dyDescent="0.35">
      <c r="A22" t="s">
        <v>42</v>
      </c>
      <c r="B22">
        <v>2.09431757E-2</v>
      </c>
      <c r="C22">
        <v>2.0646560099999999E-2</v>
      </c>
      <c r="D22">
        <v>1.7005074700000001E-2</v>
      </c>
      <c r="E22">
        <v>0.21242969219999999</v>
      </c>
      <c r="F22">
        <v>0.21072944960000001</v>
      </c>
      <c r="G22">
        <v>0.17346182590000001</v>
      </c>
      <c r="H22">
        <v>2.1521364093000002</v>
      </c>
      <c r="I22">
        <v>2.1300994638000001</v>
      </c>
      <c r="J22">
        <v>1.7353862817000001</v>
      </c>
      <c r="K22">
        <f t="shared" si="0"/>
        <v>1.2901627741413924</v>
      </c>
      <c r="L22">
        <f t="shared" si="1"/>
        <v>1.6263295573515197</v>
      </c>
      <c r="M22">
        <f t="shared" si="5"/>
        <v>1.2990997645110836</v>
      </c>
      <c r="N22">
        <f t="shared" si="6"/>
        <v>1.6450653929356807</v>
      </c>
      <c r="O22">
        <f t="shared" si="2"/>
        <v>0.19148651649999998</v>
      </c>
      <c r="P22">
        <f t="shared" si="7"/>
        <v>0.38156940600000006</v>
      </c>
      <c r="Q22">
        <f t="shared" si="3"/>
        <v>1.9397067171000002</v>
      </c>
      <c r="R22">
        <f t="shared" si="4"/>
        <v>3.8590767313000005</v>
      </c>
      <c r="S22">
        <f t="shared" si="8"/>
        <v>0.24704877533831149</v>
      </c>
      <c r="T22">
        <f t="shared" si="9"/>
        <v>0.62055760315886244</v>
      </c>
      <c r="U22">
        <f t="shared" si="10"/>
        <v>2.5198725394051773</v>
      </c>
      <c r="V22">
        <f t="shared" si="11"/>
        <v>6.3484335793449773</v>
      </c>
    </row>
    <row r="23" spans="1:22" x14ac:dyDescent="0.35">
      <c r="A23" t="s">
        <v>43</v>
      </c>
      <c r="B23">
        <v>3.1720577999999999E-2</v>
      </c>
      <c r="C23">
        <v>3.1073847799999998E-2</v>
      </c>
      <c r="D23">
        <v>1.69073761E-2</v>
      </c>
      <c r="E23">
        <v>0.32525397880000001</v>
      </c>
      <c r="F23">
        <v>0.30995829549999998</v>
      </c>
      <c r="G23">
        <v>0.1659324995</v>
      </c>
      <c r="H23">
        <v>3.1269919984999999</v>
      </c>
      <c r="I23">
        <v>3.0022243915</v>
      </c>
      <c r="J23">
        <v>1.602186892</v>
      </c>
      <c r="K23">
        <f>E23/(F23+G23)/(0.3/0.7)</f>
        <v>1.5947481197515774</v>
      </c>
      <c r="L23">
        <f t="shared" si="1"/>
        <v>2.5520910660020122</v>
      </c>
      <c r="M23">
        <f t="shared" si="5"/>
        <v>1.5846357360197503</v>
      </c>
      <c r="N23">
        <f t="shared" si="6"/>
        <v>2.5503543190890121</v>
      </c>
      <c r="O23">
        <f t="shared" si="2"/>
        <v>0.29353340080000001</v>
      </c>
      <c r="P23">
        <f t="shared" si="7"/>
        <v>0.57241784849999988</v>
      </c>
      <c r="Q23">
        <f t="shared" si="3"/>
        <v>2.8017380196999997</v>
      </c>
      <c r="R23">
        <f t="shared" si="4"/>
        <v>5.4940041156999992</v>
      </c>
      <c r="S23">
        <f t="shared" si="8"/>
        <v>0.46811183901008618</v>
      </c>
      <c r="T23">
        <f t="shared" si="9"/>
        <v>1.460862477176943</v>
      </c>
      <c r="U23">
        <f t="shared" si="10"/>
        <v>4.4397341889818263</v>
      </c>
      <c r="V23">
        <f t="shared" si="11"/>
        <v>14.011657125568302</v>
      </c>
    </row>
  </sheetData>
  <autoFilter ref="A1:V22" xr:uid="{00000000-0001-0000-0000-000000000000}">
    <sortState xmlns:xlrd2="http://schemas.microsoft.com/office/spreadsheetml/2017/richdata2" ref="A2:V22">
      <sortCondition descending="1" ref="V1:V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MERT BEYAZ</cp:lastModifiedBy>
  <dcterms:created xsi:type="dcterms:W3CDTF">2015-06-05T18:17:20Z</dcterms:created>
  <dcterms:modified xsi:type="dcterms:W3CDTF">2026-08-26T22:36:00Z</dcterms:modified>
</cp:coreProperties>
</file>